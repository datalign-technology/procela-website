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tings" sheetId="2" state="hidden" r:id="rId2"/>
    <sheet name="Worked example" sheetId="3" state="visible" r:id="rId3"/>
    <sheet name="Your value model" sheetId="4" state="visible" r:id="rId4"/>
  </sheets>
  <definedNames/>
  <calcPr calcId="124519" fullCalcOnLoad="1"/>
</workbook>
</file>

<file path=xl/styles.xml><?xml version="1.0" encoding="utf-8"?>
<styleSheet xmlns="http://schemas.openxmlformats.org/spreadsheetml/2006/main">
  <numFmts count="1">
    <numFmt numFmtId="164" formatCode="#,##0;[Red](#,##0)"/>
  </numFmts>
  <fonts count="12">
    <font>
      <name val="Calibri"/>
      <family val="2"/>
      <color theme="1"/>
      <sz val="11"/>
      <scheme val="minor"/>
    </font>
    <font>
      <name val="Calibri"/>
      <b val="1"/>
      <color rgb="000D1F17"/>
      <sz val="11"/>
    </font>
    <font>
      <name val="Calibri"/>
      <i val="1"/>
      <color rgb="006B7A72"/>
      <sz val="9"/>
    </font>
    <font>
      <name val="Calibri"/>
      <b val="1"/>
      <color rgb="00FFFFFF"/>
      <sz val="18"/>
    </font>
    <font>
      <name val="Calibri"/>
      <i val="1"/>
      <color rgb="006B7A72"/>
      <sz val="10"/>
    </font>
    <font>
      <name val="Calibri"/>
      <b val="1"/>
      <color rgb="002F7052"/>
      <sz val="13"/>
    </font>
    <font>
      <name val="Calibri"/>
      <color rgb="000D1F17"/>
      <sz val="11"/>
    </font>
    <font>
      <name val="Calibri"/>
      <b val="1"/>
      <color rgb="00FFFFFF"/>
      <sz val="15"/>
    </font>
    <font>
      <name val="Calibri"/>
      <b val="1"/>
      <color rgb="001F4D38"/>
      <sz val="11"/>
    </font>
    <font>
      <name val="Calibri"/>
      <b val="1"/>
      <color rgb="006B7A72"/>
      <sz val="9"/>
    </font>
    <font>
      <name val="Calibri"/>
      <b val="1"/>
      <color rgb="001F4D38"/>
      <sz val="12"/>
    </font>
    <font>
      <name val="Calibri"/>
      <b val="1"/>
      <color rgb="002F7052"/>
      <sz val="12"/>
    </font>
  </fonts>
  <fills count="6">
    <fill>
      <patternFill/>
    </fill>
    <fill>
      <patternFill patternType="gray125"/>
    </fill>
    <fill>
      <patternFill patternType="solid">
        <fgColor rgb="002F7052"/>
      </patternFill>
    </fill>
    <fill>
      <patternFill patternType="solid">
        <fgColor rgb="00FFF7E0"/>
      </patternFill>
    </fill>
    <fill>
      <patternFill patternType="solid">
        <fgColor rgb="00E7F0EB"/>
      </patternFill>
    </fill>
    <fill>
      <patternFill patternType="solid">
        <fgColor rgb="00D9EAE0"/>
      </patternFill>
    </fill>
  </fills>
  <borders count="3">
    <border>
      <left/>
      <right/>
      <top/>
      <bottom/>
      <diagonal/>
    </border>
    <border>
      <left style="thin">
        <color rgb="00D6DEDA"/>
      </left>
      <right style="thin">
        <color rgb="00D6DEDA"/>
      </right>
      <top style="thin">
        <color rgb="00D6DEDA"/>
      </top>
      <bottom style="thin">
        <color rgb="00D6DEDA"/>
      </bottom>
    </border>
    <border>
      <bottom style="thin">
        <color rgb="00C3CEC8"/>
      </bottom>
    </border>
  </borders>
  <cellStyleXfs count="1">
    <xf numFmtId="0" fontId="0" fillId="0" borderId="0"/>
  </cellStyleXfs>
  <cellXfs count="25">
    <xf numFmtId="0" fontId="0" fillId="0" borderId="0" pivotButton="0" quotePrefix="0" xfId="0"/>
    <xf numFmtId="0" fontId="3" fillId="2" borderId="0" applyAlignment="1" pivotButton="0" quotePrefix="0" xfId="0">
      <alignment vertical="center" inden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0" borderId="0" pivotButton="0" quotePrefix="0" xfId="0"/>
    <xf numFmtId="0" fontId="2" fillId="0" borderId="0" pivotButton="0" quotePrefix="0" xfId="0"/>
    <xf numFmtId="0" fontId="7" fillId="2" borderId="0" applyAlignment="1" pivotButton="0" quotePrefix="0" xfId="0">
      <alignment vertical="center" indent="1"/>
    </xf>
    <xf numFmtId="0" fontId="4" fillId="0" borderId="0" pivotButton="0" quotePrefix="0" xfId="0"/>
    <xf numFmtId="0" fontId="1" fillId="3" borderId="1" applyAlignment="1" pivotButton="0" quotePrefix="0" xfId="0">
      <alignment horizontal="center" vertical="center"/>
    </xf>
    <xf numFmtId="0" fontId="4" fillId="0" borderId="0" applyAlignment="1" pivotButton="0" quotePrefix="0" xfId="0">
      <alignment vertical="center"/>
    </xf>
    <xf numFmtId="0" fontId="6" fillId="0" borderId="0" pivotButton="0" quotePrefix="0" xfId="0"/>
    <xf numFmtId="0" fontId="8" fillId="4" borderId="0" applyAlignment="1" pivotButton="0" quotePrefix="0" xfId="0">
      <alignment vertical="center" indent="1"/>
    </xf>
    <xf numFmtId="0" fontId="9" fillId="0" borderId="2" applyAlignment="1" pivotButton="0" quotePrefix="0" xfId="0">
      <alignment vertical="center" wrapText="1"/>
    </xf>
    <xf numFmtId="0" fontId="6" fillId="0" borderId="0" applyAlignment="1" pivotButton="0" quotePrefix="0" xfId="0">
      <alignment vertical="center" wrapText="1"/>
    </xf>
    <xf numFmtId="164" fontId="6" fillId="3" borderId="1" applyAlignment="1" pivotButton="0" quotePrefix="0" xfId="0">
      <alignment horizontal="right" vertical="center"/>
    </xf>
    <xf numFmtId="0" fontId="2" fillId="0" borderId="0" applyAlignment="1" pivotButton="0" quotePrefix="0" xfId="0">
      <alignment vertical="center" wrapText="1"/>
    </xf>
    <xf numFmtId="9" fontId="6" fillId="3" borderId="1" applyAlignment="1" pivotButton="0" quotePrefix="0" xfId="0">
      <alignment horizontal="right" vertical="center"/>
    </xf>
    <xf numFmtId="3" fontId="6" fillId="3" borderId="1" applyAlignment="1" pivotButton="0" quotePrefix="0" xfId="0">
      <alignment horizontal="right" vertical="center"/>
    </xf>
    <xf numFmtId="0" fontId="9" fillId="0" borderId="2" applyAlignment="1" pivotButton="0" quotePrefix="0" xfId="0">
      <alignment vertical="center"/>
    </xf>
    <xf numFmtId="0" fontId="9" fillId="0" borderId="2" applyAlignment="1" pivotButton="0" quotePrefix="0" xfId="0">
      <alignment horizontal="right" vertical="center"/>
    </xf>
    <xf numFmtId="164" fontId="6" fillId="0" borderId="0" applyAlignment="1" pivotButton="0" quotePrefix="0" xfId="0">
      <alignment horizontal="right" vertical="center"/>
    </xf>
    <xf numFmtId="0" fontId="10" fillId="0" borderId="0" applyAlignment="1" pivotButton="0" quotePrefix="0" xfId="0">
      <alignment vertical="center"/>
    </xf>
    <xf numFmtId="164" fontId="10" fillId="5" borderId="1" applyAlignment="1" pivotButton="0" quotePrefix="0" xfId="0">
      <alignment horizontal="right" vertical="center"/>
    </xf>
    <xf numFmtId="0" fontId="11"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3" customWidth="1" min="1" max="1"/>
    <col width="104" customWidth="1" min="2" max="2"/>
  </cols>
  <sheetData>
    <row r="2" ht="40" customHeight="1">
      <c r="B2" s="1" t="inlineStr">
        <is>
          <t>Governance Value Model — Worksheet</t>
        </is>
      </c>
    </row>
    <row r="3">
      <c r="B3" s="2" t="inlineStr">
        <is>
          <t>Procela · a free worksheet for putting a defensible number on your data governance program</t>
        </is>
      </c>
    </row>
    <row r="5">
      <c r="B5" s="3" t="inlineStr">
        <is>
          <t>What this is</t>
        </is>
      </c>
    </row>
    <row r="6" ht="62" customHeight="1">
      <c r="B6" s="4" t="inlineStr">
        <is>
          <t>A simple, transparent way to answer “what are we getting for governance?” — without inventing a number. You measure a few signals you can’t fake, translate them into risk reduced, cost and time saved, and decisions enabled, and price them with unit economics your finance team agrees to. Every figure traces back to an input you set.</t>
        </is>
      </c>
    </row>
    <row r="8">
      <c r="B8" s="3" t="inlineStr">
        <is>
          <t>How to use this workbook</t>
        </is>
      </c>
    </row>
    <row r="9" ht="30" customHeight="1">
      <c r="B9" s="4" t="inlineStr">
        <is>
          <t>1.  Open the “Worked example” tab to see the model filled in with illustrative numbers.</t>
        </is>
      </c>
    </row>
    <row r="10" ht="30" customHeight="1">
      <c r="B10" s="4" t="inlineStr">
        <is>
          <t>2.  Copy the “Your value model” tab and replace the amber cells with your own numbers.</t>
        </is>
      </c>
    </row>
    <row r="11" ht="30" customHeight="1">
      <c r="B11" s="4" t="inlineStr">
        <is>
          <t>3.  Pick your currency from the dropdown at the top of each tab — headers and the total update to match.</t>
        </is>
      </c>
    </row>
    <row r="12" ht="30" customHeight="1">
      <c r="B12" s="4" t="inlineStr">
        <is>
          <t>4.  Agree the unit economics (Step 1) and operating assumptions (Step 3) with Finance — those few numbers make the total defensible.</t>
        </is>
      </c>
    </row>
    <row r="13" ht="30" customHeight="1">
      <c r="B13" s="4" t="inlineStr">
        <is>
          <t>5.  Pull the signals (Step 2) from your catalog: capture them once as a baseline, then re-read them each quarter.</t>
        </is>
      </c>
    </row>
    <row r="14" ht="30" customHeight="1">
      <c r="B14" s="4" t="inlineStr">
        <is>
          <t>6.  Report the total as a trend, with one line on what moved it. The slope is the story, not the snapshot.</t>
        </is>
      </c>
    </row>
    <row r="16">
      <c r="B16" s="3" t="inlineStr">
        <is>
          <t>The method — three layers</t>
        </is>
      </c>
    </row>
    <row r="17" ht="30" customHeight="1">
      <c r="B17" s="4" t="inlineStr">
        <is>
          <t>•  The un-fakeable signals — classification of sensitive data and owner coverage, computed from the catalog, not asserted on a slide.</t>
        </is>
      </c>
    </row>
    <row r="18" ht="30" customHeight="1">
      <c r="B18" s="4" t="inlineStr">
        <is>
          <t>•  The three stories — how each signal maps to risk reduced, cost or time saved, or a decision enabled.</t>
        </is>
      </c>
    </row>
    <row r="19" ht="30" customHeight="1">
      <c r="B19" s="4" t="inlineStr">
        <is>
          <t>•  The value model — your organisation’s own price on time, incidents, and decisions, agreed with Finance and applied to the signals.</t>
        </is>
      </c>
    </row>
    <row r="21">
      <c r="B21" s="3" t="inlineStr">
        <is>
          <t>Rules that keep it credible</t>
        </is>
      </c>
    </row>
    <row r="22" ht="30" customHeight="1">
      <c r="B22" s="4" t="inlineStr">
        <is>
          <t>•  Don’t invent figures. Every amount comes from an input someone signed off on — change the input, not the credibility.</t>
        </is>
      </c>
    </row>
    <row r="23" ht="30" customHeight="1">
      <c r="B23" s="4" t="inlineStr">
        <is>
          <t>•  Baseline before you start. You can only show improvement against a “before”, and today is the cheapest time to capture one.</t>
        </is>
      </c>
    </row>
    <row r="24" ht="30" customHeight="1">
      <c r="B24" s="4" t="inlineStr">
        <is>
          <t>•  Show the slope. Pair the total with its prior value and a one-line “so what”: “at risk fell from X to Y after the billing domain review.”</t>
        </is>
      </c>
    </row>
    <row r="25" ht="30" customHeight="1">
      <c r="B25" s="4" t="inlineStr">
        <is>
          <t>•  Amber cells are yours to edit. Everything else is a formula that updates when you change an input.</t>
        </is>
      </c>
    </row>
    <row r="27" ht="30" customHeight="1">
      <c r="B27" s="2" t="inlineStr">
        <is>
          <t>Pair this with the Governance Scorecard Template (procela.ai/resources/scorecard-template) — the same signals belong in front of your governance council.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5" t="inlineStr">
        <is>
          <t>Code</t>
        </is>
      </c>
      <c r="B1" s="5" t="inlineStr">
        <is>
          <t>Symbol</t>
        </is>
      </c>
    </row>
    <row r="2">
      <c r="A2" t="inlineStr">
        <is>
          <t>USD</t>
        </is>
      </c>
      <c r="B2" t="inlineStr">
        <is>
          <t>$</t>
        </is>
      </c>
    </row>
    <row r="3">
      <c r="A3" t="inlineStr">
        <is>
          <t>EUR</t>
        </is>
      </c>
      <c r="B3" t="inlineStr">
        <is>
          <t>€</t>
        </is>
      </c>
    </row>
    <row r="4">
      <c r="A4" t="inlineStr">
        <is>
          <t>GBP</t>
        </is>
      </c>
      <c r="B4" t="inlineStr">
        <is>
          <t>£</t>
        </is>
      </c>
    </row>
    <row r="5">
      <c r="A5" t="inlineStr">
        <is>
          <t>CAD</t>
        </is>
      </c>
      <c r="B5" t="inlineStr">
        <is>
          <t>C$</t>
        </is>
      </c>
    </row>
    <row r="6">
      <c r="A6" t="inlineStr">
        <is>
          <t>AUD</t>
        </is>
      </c>
      <c r="B6" t="inlineStr">
        <is>
          <t>A$</t>
        </is>
      </c>
    </row>
    <row r="8">
      <c r="A8" s="6" t="inlineStr">
        <is>
          <t>This sheet powers the currency dropdown on each tab. Add rows above to offer more currencies.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3" customWidth="1" min="1" max="1"/>
    <col width="46" customWidth="1" min="2" max="2"/>
    <col width="16" customWidth="1" min="3" max="3"/>
    <col width="16" customWidth="1" min="4" max="4"/>
    <col width="52" customWidth="1" min="5" max="5"/>
    <col hidden="1" width="6" customWidth="1" min="7" max="7"/>
  </cols>
  <sheetData>
    <row r="2" ht="34" customHeight="1">
      <c r="B2" s="7" t="inlineStr">
        <is>
          <t>Worked example</t>
        </is>
      </c>
    </row>
    <row r="3">
      <c r="B3" s="8" t="inlineStr">
        <is>
          <t>Illustrative numbers — replace with your own on the “Your value model” tab.</t>
        </is>
      </c>
    </row>
    <row r="5">
      <c r="B5" s="5" t="inlineStr">
        <is>
          <t>Currency</t>
        </is>
      </c>
      <c r="C5" s="9" t="inlineStr">
        <is>
          <t>USD</t>
        </is>
      </c>
      <c r="D5" s="10">
        <f>CONCATENATE("All amounts below are in ",C5," (",G5,") — change it at left")</f>
        <v/>
      </c>
      <c r="G5" s="11">
        <f>VLOOKUP(C5,Settings!$A$2:$B$6,2,FALSE)</f>
        <v/>
      </c>
    </row>
    <row r="7" ht="24" customHeight="1">
      <c r="B7" s="12" t="inlineStr">
        <is>
          <t>STEP 1 — Unit economics  (agree these with Finance)</t>
        </is>
      </c>
    </row>
    <row r="8">
      <c r="B8" s="13" t="inlineStr">
        <is>
          <t>Input</t>
        </is>
      </c>
      <c r="C8" s="13" t="inlineStr">
        <is>
          <t>Value</t>
        </is>
      </c>
      <c r="D8" s="13" t="inlineStr"/>
      <c r="E8" s="13" t="inlineStr">
        <is>
          <t>Notes</t>
        </is>
      </c>
    </row>
    <row r="9" ht="22" customHeight="1">
      <c r="B9" s="14" t="inlineStr">
        <is>
          <t>Loaded cost per analyst hour</t>
        </is>
      </c>
      <c r="C9" s="15" t="n">
        <v>85</v>
      </c>
      <c r="E9" s="16" t="inlineStr">
        <is>
          <t>Fully-loaded hourly cost of the analysts governance touches</t>
        </is>
      </c>
    </row>
    <row r="10" ht="22" customHeight="1">
      <c r="B10" s="14" t="inlineStr">
        <is>
          <t>Loaded cost per steward / engineer hour</t>
        </is>
      </c>
      <c r="C10" s="15" t="n">
        <v>110</v>
      </c>
      <c r="E10" s="16" t="inlineStr">
        <is>
          <t>For audit-prep and remediation time</t>
        </is>
      </c>
    </row>
    <row r="11" ht="22" customHeight="1">
      <c r="B11" s="14" t="inlineStr">
        <is>
          <t>Expected cost of a reportable data incident</t>
        </is>
      </c>
      <c r="C11" s="15" t="n">
        <v>250000</v>
      </c>
      <c r="E11" s="16" t="inlineStr">
        <is>
          <t>Fully loaded: fines, response, notification, reputation</t>
        </is>
      </c>
    </row>
    <row r="12" ht="22" customHeight="1">
      <c r="B12" s="14" t="inlineStr">
        <is>
          <t>Value of a day saved in a key decision cycle</t>
        </is>
      </c>
      <c r="C12" s="15" t="n">
        <v>5000</v>
      </c>
      <c r="E12" s="16" t="inlineStr">
        <is>
          <t>What a faster, confident decision is worth per day</t>
        </is>
      </c>
    </row>
    <row r="14" ht="24" customHeight="1">
      <c r="B14" s="12" t="inlineStr">
        <is>
          <t>STEP 2 — Governance signals  (read from your catalog)</t>
        </is>
      </c>
    </row>
    <row r="15">
      <c r="B15" s="13" t="inlineStr">
        <is>
          <t>Signal</t>
        </is>
      </c>
      <c r="C15" s="13" t="inlineStr">
        <is>
          <t>Baseline</t>
        </is>
      </c>
      <c r="D15" s="13" t="inlineStr">
        <is>
          <t>Current</t>
        </is>
      </c>
      <c r="E15" s="13" t="inlineStr">
        <is>
          <t>Notes</t>
        </is>
      </c>
    </row>
    <row r="16" ht="22" customHeight="1">
      <c r="B16" s="14" t="inlineStr">
        <is>
          <t>Sensitive data classified</t>
        </is>
      </c>
      <c r="C16" s="17" t="n">
        <v>0.6</v>
      </c>
      <c r="D16" s="17" t="n">
        <v>0.95</v>
      </c>
      <c r="E16" s="16" t="inlineStr">
        <is>
          <t>% of sensitive assets with a classification</t>
        </is>
      </c>
    </row>
    <row r="17" ht="22" customHeight="1">
      <c r="B17" s="14" t="inlineStr">
        <is>
          <t>Tier-1 coverage — owned</t>
        </is>
      </c>
      <c r="C17" s="17" t="n">
        <v>0.55</v>
      </c>
      <c r="D17" s="17" t="n">
        <v>1</v>
      </c>
      <c r="E17" s="16" t="inlineStr">
        <is>
          <t>% of tier-1 domains &amp; assets with a named owner</t>
        </is>
      </c>
    </row>
    <row r="19" ht="24" customHeight="1">
      <c r="B19" s="12" t="inlineStr">
        <is>
          <t>STEP 3 — Operating assumptions  (agree these too)</t>
        </is>
      </c>
    </row>
    <row r="20">
      <c r="B20" s="13" t="inlineStr">
        <is>
          <t>Input</t>
        </is>
      </c>
      <c r="C20" s="13" t="inlineStr">
        <is>
          <t>Value</t>
        </is>
      </c>
      <c r="D20" s="13" t="inlineStr"/>
      <c r="E20" s="13" t="inlineStr">
        <is>
          <t>Notes</t>
        </is>
      </c>
    </row>
    <row r="21" ht="22" customHeight="1">
      <c r="B21" s="14" t="inlineStr">
        <is>
          <t>Annual incident probability — baseline exposure</t>
        </is>
      </c>
      <c r="C21" s="17" t="n">
        <v>0.15</v>
      </c>
      <c r="E21" s="16" t="inlineStr">
        <is>
          <t>Modeled likelihood per year when sensitive data is largely ungoverned</t>
        </is>
      </c>
    </row>
    <row r="22" ht="22" customHeight="1">
      <c r="B22" s="14" t="inlineStr">
        <is>
          <t>Annual incident probability — full coverage (floor)</t>
        </is>
      </c>
      <c r="C22" s="17" t="n">
        <v>0.03</v>
      </c>
      <c r="E22" s="16" t="inlineStr">
        <is>
          <t>Irreducible residual even with strong governance</t>
        </is>
      </c>
    </row>
    <row r="23" ht="22" customHeight="1">
      <c r="B23" s="14" t="inlineStr">
        <is>
          <t>Analyst-hours saved per month (at current coverage)</t>
        </is>
      </c>
      <c r="C23" s="18" t="n">
        <v>40</v>
      </c>
      <c r="E23" s="16" t="inlineStr">
        <is>
          <t>Less time hunting for owners and re-pulling data</t>
        </is>
      </c>
    </row>
    <row r="24" ht="22" customHeight="1">
      <c r="B24" s="14" t="inlineStr">
        <is>
          <t>Audit-prep hours saved per audit</t>
        </is>
      </c>
      <c r="C24" s="18" t="n">
        <v>120</v>
      </c>
      <c r="E24" s="16" t="inlineStr">
        <is>
          <t>Prep becomes a query, not a project</t>
        </is>
      </c>
    </row>
    <row r="25" ht="22" customHeight="1">
      <c r="B25" s="14" t="inlineStr">
        <is>
          <t>Audits per year</t>
        </is>
      </c>
      <c r="C25" s="18" t="n">
        <v>2</v>
      </c>
    </row>
    <row r="26" ht="22" customHeight="1">
      <c r="B26" s="14" t="inlineStr">
        <is>
          <t>Decision-days saved per year</t>
        </is>
      </c>
      <c r="C26" s="18" t="n">
        <v>20</v>
      </c>
      <c r="E26" s="16" t="inlineStr">
        <is>
          <t>Faster, confident decisions on trusted, traceable figures</t>
        </is>
      </c>
    </row>
    <row r="28" ht="24" customHeight="1">
      <c r="B28" s="12" t="inlineStr">
        <is>
          <t>THE VALUE  (annual — computed from your inputs)</t>
        </is>
      </c>
    </row>
    <row r="29">
      <c r="B29" s="19" t="inlineStr">
        <is>
          <t>Story</t>
        </is>
      </c>
      <c r="C29" s="20">
        <f>CONCATENATE("Annual value (",C5,")")</f>
        <v/>
      </c>
      <c r="E29" s="19" t="inlineStr">
        <is>
          <t>How it’s computed</t>
        </is>
      </c>
    </row>
    <row r="30" ht="22" customHeight="1">
      <c r="B30" s="11" t="inlineStr">
        <is>
          <t>Risk reduced</t>
        </is>
      </c>
      <c r="C30" s="21">
        <f>C11*(C21-C22)*(D16-C16)</f>
        <v/>
      </c>
      <c r="E30" s="16" t="inlineStr">
        <is>
          <t>Incident cost × exposure-driven drop in annual probability</t>
        </is>
      </c>
    </row>
    <row r="31" ht="22" customHeight="1">
      <c r="B31" s="11" t="inlineStr">
        <is>
          <t>Cost &amp; time saved</t>
        </is>
      </c>
      <c r="C31" s="21">
        <f>C23*12*C9 + C24*C25*C10</f>
        <v/>
      </c>
      <c r="E31" s="16" t="inlineStr">
        <is>
          <t>Analyst hours + audit-prep hours, at your loaded rates</t>
        </is>
      </c>
    </row>
    <row r="32" ht="22" customHeight="1">
      <c r="B32" s="11" t="inlineStr">
        <is>
          <t>Decisions enabled</t>
        </is>
      </c>
      <c r="C32" s="21">
        <f>C26*C12</f>
        <v/>
      </c>
      <c r="E32" s="16" t="inlineStr">
        <is>
          <t>Decision-days saved × value per day</t>
        </is>
      </c>
    </row>
    <row r="34" ht="26" customHeight="1">
      <c r="B34" s="22" t="inlineStr">
        <is>
          <t>TOTAL annual governance value</t>
        </is>
      </c>
      <c r="C34" s="23">
        <f>SUM(C30:C32)</f>
        <v/>
      </c>
    </row>
    <row r="35">
      <c r="B35" s="8" t="inlineStr">
        <is>
          <t>Shown in selected currency</t>
        </is>
      </c>
      <c r="C35" s="24">
        <f>CONCATENATE(G5,TEXT(C34,"#,##0"))</f>
        <v/>
      </c>
    </row>
    <row r="37">
      <c r="B37" s="6" t="inlineStr">
        <is>
          <t>Every figure above traces to an input you set — change an assumption (or the currency) and the total updates. Procela invents no numbers.</t>
        </is>
      </c>
    </row>
    <row r="38">
      <c r="B38" s="6" t="inlineStr">
        <is>
          <t>Report it as a trend: “governance value rose from X to Y this quarter after the billing and metering domains were reviewed.”</t>
        </is>
      </c>
    </row>
  </sheetData>
  <mergeCells count="9">
    <mergeCell ref="B37:E37"/>
    <mergeCell ref="D5:E5"/>
    <mergeCell ref="B38:E38"/>
    <mergeCell ref="B7:E7"/>
    <mergeCell ref="B3:E3"/>
    <mergeCell ref="B2:E2"/>
    <mergeCell ref="B19:E19"/>
    <mergeCell ref="B28:E28"/>
    <mergeCell ref="B14:E14"/>
  </mergeCells>
  <dataValidations count="1">
    <dataValidation sqref="C5" showDropDown="0" showInputMessage="0" showErrorMessage="0" allowBlank="0" type="list">
      <formula1>Settings!$A$2:$A$6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3" customWidth="1" min="1" max="1"/>
    <col width="46" customWidth="1" min="2" max="2"/>
    <col width="16" customWidth="1" min="3" max="3"/>
    <col width="16" customWidth="1" min="4" max="4"/>
    <col width="52" customWidth="1" min="5" max="5"/>
    <col hidden="1" width="6" customWidth="1" min="7" max="7"/>
  </cols>
  <sheetData>
    <row r="2" ht="34" customHeight="1">
      <c r="B2" s="7" t="inlineStr">
        <is>
          <t>Your value model</t>
        </is>
      </c>
    </row>
    <row r="3">
      <c r="B3" s="8" t="inlineStr">
        <is>
          <t>Replace the amber cells. Blue results update automatically.</t>
        </is>
      </c>
    </row>
    <row r="5">
      <c r="B5" s="5" t="inlineStr">
        <is>
          <t>Currency</t>
        </is>
      </c>
      <c r="C5" s="9" t="inlineStr">
        <is>
          <t>USD</t>
        </is>
      </c>
      <c r="D5" s="10">
        <f>CONCATENATE("All amounts below are in ",C5," (",G5,") — change it at left")</f>
        <v/>
      </c>
      <c r="G5" s="11">
        <f>VLOOKUP(C5,Settings!$A$2:$B$6,2,FALSE)</f>
        <v/>
      </c>
    </row>
    <row r="7" ht="24" customHeight="1">
      <c r="B7" s="12" t="inlineStr">
        <is>
          <t>STEP 1 — Unit economics  (agree these with Finance)</t>
        </is>
      </c>
    </row>
    <row r="8">
      <c r="B8" s="13" t="inlineStr">
        <is>
          <t>Input</t>
        </is>
      </c>
      <c r="C8" s="13" t="inlineStr">
        <is>
          <t>Value</t>
        </is>
      </c>
      <c r="D8" s="13" t="inlineStr"/>
      <c r="E8" s="13" t="inlineStr">
        <is>
          <t>Notes</t>
        </is>
      </c>
    </row>
    <row r="9" ht="22" customHeight="1">
      <c r="B9" s="14" t="inlineStr">
        <is>
          <t>Loaded cost per analyst hour</t>
        </is>
      </c>
      <c r="C9" s="15" t="n"/>
      <c r="E9" s="16" t="inlineStr">
        <is>
          <t>Fully-loaded hourly cost of the analysts governance touches</t>
        </is>
      </c>
    </row>
    <row r="10" ht="22" customHeight="1">
      <c r="B10" s="14" t="inlineStr">
        <is>
          <t>Loaded cost per steward / engineer hour</t>
        </is>
      </c>
      <c r="C10" s="15" t="n"/>
      <c r="E10" s="16" t="inlineStr">
        <is>
          <t>For audit-prep and remediation time</t>
        </is>
      </c>
    </row>
    <row r="11" ht="22" customHeight="1">
      <c r="B11" s="14" t="inlineStr">
        <is>
          <t>Expected cost of a reportable data incident</t>
        </is>
      </c>
      <c r="C11" s="15" t="n"/>
      <c r="E11" s="16" t="inlineStr">
        <is>
          <t>Fully loaded: fines, response, notification, reputation</t>
        </is>
      </c>
    </row>
    <row r="12" ht="22" customHeight="1">
      <c r="B12" s="14" t="inlineStr">
        <is>
          <t>Value of a day saved in a key decision cycle</t>
        </is>
      </c>
      <c r="C12" s="15" t="n"/>
      <c r="E12" s="16" t="inlineStr">
        <is>
          <t>What a faster, confident decision is worth per day</t>
        </is>
      </c>
    </row>
    <row r="14" ht="24" customHeight="1">
      <c r="B14" s="12" t="inlineStr">
        <is>
          <t>STEP 2 — Governance signals  (read from your catalog)</t>
        </is>
      </c>
    </row>
    <row r="15">
      <c r="B15" s="13" t="inlineStr">
        <is>
          <t>Signal</t>
        </is>
      </c>
      <c r="C15" s="13" t="inlineStr">
        <is>
          <t>Baseline</t>
        </is>
      </c>
      <c r="D15" s="13" t="inlineStr">
        <is>
          <t>Current</t>
        </is>
      </c>
      <c r="E15" s="13" t="inlineStr">
        <is>
          <t>Notes</t>
        </is>
      </c>
    </row>
    <row r="16" ht="22" customHeight="1">
      <c r="B16" s="14" t="inlineStr">
        <is>
          <t>Sensitive data classified</t>
        </is>
      </c>
      <c r="C16" s="17" t="n"/>
      <c r="D16" s="17" t="n"/>
      <c r="E16" s="16" t="inlineStr">
        <is>
          <t>% of sensitive assets with a classification</t>
        </is>
      </c>
    </row>
    <row r="17" ht="22" customHeight="1">
      <c r="B17" s="14" t="inlineStr">
        <is>
          <t>Tier-1 coverage — owned</t>
        </is>
      </c>
      <c r="C17" s="17" t="n"/>
      <c r="D17" s="17" t="n"/>
      <c r="E17" s="16" t="inlineStr">
        <is>
          <t>% of tier-1 domains &amp; assets with a named owner</t>
        </is>
      </c>
    </row>
    <row r="19" ht="24" customHeight="1">
      <c r="B19" s="12" t="inlineStr">
        <is>
          <t>STEP 3 — Operating assumptions  (agree these too)</t>
        </is>
      </c>
    </row>
    <row r="20">
      <c r="B20" s="13" t="inlineStr">
        <is>
          <t>Input</t>
        </is>
      </c>
      <c r="C20" s="13" t="inlineStr">
        <is>
          <t>Value</t>
        </is>
      </c>
      <c r="D20" s="13" t="inlineStr"/>
      <c r="E20" s="13" t="inlineStr">
        <is>
          <t>Notes</t>
        </is>
      </c>
    </row>
    <row r="21" ht="22" customHeight="1">
      <c r="B21" s="14" t="inlineStr">
        <is>
          <t>Annual incident probability — baseline exposure</t>
        </is>
      </c>
      <c r="C21" s="17" t="n"/>
      <c r="E21" s="16" t="inlineStr">
        <is>
          <t>Modeled likelihood per year when sensitive data is largely ungoverned</t>
        </is>
      </c>
    </row>
    <row r="22" ht="22" customHeight="1">
      <c r="B22" s="14" t="inlineStr">
        <is>
          <t>Annual incident probability — full coverage (floor)</t>
        </is>
      </c>
      <c r="C22" s="17" t="n"/>
      <c r="E22" s="16" t="inlineStr">
        <is>
          <t>Irreducible residual even with strong governance</t>
        </is>
      </c>
    </row>
    <row r="23" ht="22" customHeight="1">
      <c r="B23" s="14" t="inlineStr">
        <is>
          <t>Analyst-hours saved per month (at current coverage)</t>
        </is>
      </c>
      <c r="C23" s="18" t="n"/>
      <c r="E23" s="16" t="inlineStr">
        <is>
          <t>Less time hunting for owners and re-pulling data</t>
        </is>
      </c>
    </row>
    <row r="24" ht="22" customHeight="1">
      <c r="B24" s="14" t="inlineStr">
        <is>
          <t>Audit-prep hours saved per audit</t>
        </is>
      </c>
      <c r="C24" s="18" t="n"/>
      <c r="E24" s="16" t="inlineStr">
        <is>
          <t>Prep becomes a query, not a project</t>
        </is>
      </c>
    </row>
    <row r="25" ht="22" customHeight="1">
      <c r="B25" s="14" t="inlineStr">
        <is>
          <t>Audits per year</t>
        </is>
      </c>
      <c r="C25" s="18" t="n"/>
    </row>
    <row r="26" ht="22" customHeight="1">
      <c r="B26" s="14" t="inlineStr">
        <is>
          <t>Decision-days saved per year</t>
        </is>
      </c>
      <c r="C26" s="18" t="n"/>
      <c r="E26" s="16" t="inlineStr">
        <is>
          <t>Faster, confident decisions on trusted, traceable figures</t>
        </is>
      </c>
    </row>
    <row r="28" ht="24" customHeight="1">
      <c r="B28" s="12" t="inlineStr">
        <is>
          <t>THE VALUE  (annual — computed from your inputs)</t>
        </is>
      </c>
    </row>
    <row r="29">
      <c r="B29" s="19" t="inlineStr">
        <is>
          <t>Story</t>
        </is>
      </c>
      <c r="C29" s="20">
        <f>CONCATENATE("Annual value (",C5,")")</f>
        <v/>
      </c>
      <c r="E29" s="19" t="inlineStr">
        <is>
          <t>How it’s computed</t>
        </is>
      </c>
    </row>
    <row r="30" ht="22" customHeight="1">
      <c r="B30" s="11" t="inlineStr">
        <is>
          <t>Risk reduced</t>
        </is>
      </c>
      <c r="C30" s="21">
        <f>C11*(C21-C22)*(D16-C16)</f>
        <v/>
      </c>
      <c r="E30" s="16" t="inlineStr">
        <is>
          <t>Incident cost × exposure-driven drop in annual probability</t>
        </is>
      </c>
    </row>
    <row r="31" ht="22" customHeight="1">
      <c r="B31" s="11" t="inlineStr">
        <is>
          <t>Cost &amp; time saved</t>
        </is>
      </c>
      <c r="C31" s="21">
        <f>C23*12*C9 + C24*C25*C10</f>
        <v/>
      </c>
      <c r="E31" s="16" t="inlineStr">
        <is>
          <t>Analyst hours + audit-prep hours, at your loaded rates</t>
        </is>
      </c>
    </row>
    <row r="32" ht="22" customHeight="1">
      <c r="B32" s="11" t="inlineStr">
        <is>
          <t>Decisions enabled</t>
        </is>
      </c>
      <c r="C32" s="21">
        <f>C26*C12</f>
        <v/>
      </c>
      <c r="E32" s="16" t="inlineStr">
        <is>
          <t>Decision-days saved × value per day</t>
        </is>
      </c>
    </row>
    <row r="34" ht="26" customHeight="1">
      <c r="B34" s="22" t="inlineStr">
        <is>
          <t>TOTAL annual governance value</t>
        </is>
      </c>
      <c r="C34" s="23">
        <f>SUM(C30:C32)</f>
        <v/>
      </c>
    </row>
    <row r="35">
      <c r="B35" s="8" t="inlineStr">
        <is>
          <t>Shown in selected currency</t>
        </is>
      </c>
      <c r="C35" s="24">
        <f>CONCATENATE(G5,TEXT(C34,"#,##0"))</f>
        <v/>
      </c>
    </row>
    <row r="37">
      <c r="B37" s="6" t="inlineStr">
        <is>
          <t>Every figure above traces to an input you set — change an assumption (or the currency) and the total updates. Procela invents no numbers.</t>
        </is>
      </c>
    </row>
    <row r="38">
      <c r="B38" s="6" t="inlineStr">
        <is>
          <t>Report it as a trend: “governance value rose from X to Y this quarter after the billing and metering domains were reviewed.”</t>
        </is>
      </c>
    </row>
  </sheetData>
  <mergeCells count="9">
    <mergeCell ref="B37:E37"/>
    <mergeCell ref="D5:E5"/>
    <mergeCell ref="B38:E38"/>
    <mergeCell ref="B7:E7"/>
    <mergeCell ref="B3:E3"/>
    <mergeCell ref="B2:E2"/>
    <mergeCell ref="B19:E19"/>
    <mergeCell ref="B28:E28"/>
    <mergeCell ref="B14:E14"/>
  </mergeCells>
  <dataValidations count="1">
    <dataValidation sqref="C5" showDropDown="0" showInputMessage="0" showErrorMessage="0" allowBlank="0" type="list">
      <formula1>Settings!$A$2:$A$6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2026-09-26T15:54:10Z</dcterms:created>
  <dcterms:modified xsi:type="dcterms:W3CDTF">2026-09-26T15:54:10Z</dcterms:modified>
</cp:coreProperties>
</file>